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B9B00905-DBF9-4A53-AA64-3AE9F137898C}" xr6:coauthVersionLast="47" xr6:coauthVersionMax="47" xr10:uidLastSave="{00000000-0000-0000-0000-000000000000}"/>
  <bookViews>
    <workbookView xWindow="-120" yWindow="-120" windowWidth="29040" windowHeight="15930" xr2:uid="{9728F039-BBBA-45D1-84F5-8C320CC08B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9" i="1"/>
  <c r="U10" i="1"/>
  <c r="U11" i="1"/>
  <c r="U3" i="1"/>
  <c r="T7" i="1"/>
  <c r="T8" i="1"/>
  <c r="T9" i="1"/>
  <c r="S11" i="1"/>
  <c r="S10" i="1"/>
  <c r="S9" i="1"/>
  <c r="S8" i="1"/>
  <c r="S7" i="1"/>
  <c r="S6" i="1"/>
  <c r="S5" i="1"/>
  <c r="S4" i="1"/>
  <c r="S3" i="1"/>
  <c r="S2" i="1"/>
  <c r="Q5" i="1"/>
  <c r="Q6" i="1"/>
  <c r="Q7" i="1"/>
  <c r="Q8" i="1"/>
  <c r="Q9" i="1"/>
  <c r="Q10" i="1"/>
  <c r="Q11" i="1"/>
  <c r="Q12" i="1"/>
  <c r="Q4" i="1"/>
  <c r="P12" i="1"/>
  <c r="P11" i="1"/>
  <c r="P10" i="1"/>
  <c r="P9" i="1"/>
  <c r="P8" i="1"/>
  <c r="P7" i="1"/>
  <c r="P6" i="1"/>
  <c r="P5" i="1"/>
  <c r="P4" i="1"/>
  <c r="P3" i="1"/>
  <c r="H8" i="1"/>
  <c r="H9" i="1"/>
  <c r="H10" i="1"/>
  <c r="H11" i="1"/>
  <c r="T10" i="1" s="1"/>
  <c r="H4" i="1"/>
  <c r="T3" i="1" s="1"/>
  <c r="G5" i="1"/>
  <c r="H5" i="1" s="1"/>
  <c r="T4" i="1" s="1"/>
  <c r="G6" i="1"/>
  <c r="H7" i="1" s="1"/>
  <c r="T6" i="1" s="1"/>
  <c r="G7" i="1"/>
  <c r="G8" i="1"/>
  <c r="G9" i="1"/>
  <c r="G10" i="1"/>
  <c r="G11" i="1"/>
  <c r="G12" i="1"/>
  <c r="H12" i="1" s="1"/>
  <c r="T11" i="1" s="1"/>
  <c r="G4" i="1"/>
  <c r="G3" i="1"/>
  <c r="H6" i="1" l="1"/>
  <c r="T5" i="1" s="1"/>
</calcChain>
</file>

<file path=xl/sharedStrings.xml><?xml version="1.0" encoding="utf-8"?>
<sst xmlns="http://schemas.openxmlformats.org/spreadsheetml/2006/main" count="28" uniqueCount="15">
  <si>
    <t>corporate</t>
  </si>
  <si>
    <t>yield</t>
  </si>
  <si>
    <t>duration</t>
  </si>
  <si>
    <t xml:space="preserve">b/a </t>
  </si>
  <si>
    <t>credit</t>
  </si>
  <si>
    <t>special</t>
  </si>
  <si>
    <t>TR rate</t>
  </si>
  <si>
    <t>days ago</t>
  </si>
  <si>
    <t>hedge</t>
  </si>
  <si>
    <t>bps</t>
  </si>
  <si>
    <t>chng</t>
  </si>
  <si>
    <t>Days</t>
  </si>
  <si>
    <t>C Ind</t>
  </si>
  <si>
    <t>I ind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</si>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</sst>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5" borderId="0" xfId="0" applyFill="1"/>
    <xf numFmtId="0" fontId="0" fillId="7" borderId="0" xfId="0" applyFill="1"/>
    <xf numFmtId="0" fontId="0" fillId="9" borderId="0" xfId="0" applyFill="1"/>
    <xf numFmtId="0" fontId="0" fillId="4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10" borderId="1" xfId="0" applyFill="1" applyBorder="1"/>
    <xf numFmtId="0" fontId="0" fillId="4" borderId="2" xfId="0" applyFill="1" applyBorder="1"/>
    <xf numFmtId="0" fontId="0" fillId="6" borderId="2" xfId="0" applyFill="1" applyBorder="1"/>
    <xf numFmtId="0" fontId="0" fillId="8" borderId="2" xfId="0" applyFill="1" applyBorder="1"/>
    <xf numFmtId="0" fontId="0" fillId="10" borderId="2" xfId="0" applyFill="1" applyBorder="1"/>
    <xf numFmtId="0" fontId="0" fillId="11" borderId="0" xfId="0" applyFill="1"/>
    <xf numFmtId="0" fontId="0" fillId="12" borderId="1" xfId="0" applyFill="1" applyBorder="1"/>
    <xf numFmtId="0" fontId="0" fillId="12" borderId="3" xfId="0" applyFill="1" applyBorder="1"/>
    <xf numFmtId="0" fontId="0" fillId="12" borderId="2" xfId="0" applyFill="1" applyBorder="1"/>
    <xf numFmtId="0" fontId="0" fillId="13" borderId="0" xfId="0" applyFill="1"/>
    <xf numFmtId="0" fontId="0" fillId="15" borderId="3" xfId="0" applyFill="1" applyBorder="1"/>
    <xf numFmtId="0" fontId="0" fillId="14" borderId="2" xfId="0" applyFill="1" applyBorder="1"/>
    <xf numFmtId="0" fontId="0" fillId="15" borderId="2" xfId="0" applyFill="1" applyBorder="1"/>
    <xf numFmtId="0" fontId="0" fillId="1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Underlying vs Cohort TR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Underlying TR Index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Sheet1!$S$2:$S$11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Sheet1!$T$2:$T$11</c:f>
              <c:numCache>
                <c:formatCode>General</c:formatCode>
                <c:ptCount val="10"/>
                <c:pt idx="0">
                  <c:v>100</c:v>
                </c:pt>
                <c:pt idx="1">
                  <c:v>103</c:v>
                </c:pt>
                <c:pt idx="2">
                  <c:v>92</c:v>
                </c:pt>
                <c:pt idx="3">
                  <c:v>102</c:v>
                </c:pt>
                <c:pt idx="4">
                  <c:v>83</c:v>
                </c:pt>
                <c:pt idx="5">
                  <c:v>106</c:v>
                </c:pt>
                <c:pt idx="6">
                  <c:v>100</c:v>
                </c:pt>
                <c:pt idx="7">
                  <c:v>94</c:v>
                </c:pt>
                <c:pt idx="8">
                  <c:v>93</c:v>
                </c:pt>
                <c:pt idx="9">
                  <c:v>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EE-4243-9478-E1096C5D795F}"/>
            </c:ext>
          </c:extLst>
        </c:ser>
        <c:ser>
          <c:idx val="1"/>
          <c:order val="1"/>
          <c:tx>
            <c:v>Cohort TR Index</c:v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4">
                    <a:alpha val="50000"/>
                  </a:schemeClr>
                </a:solidFill>
              </a:ln>
              <a:effectLst/>
            </c:spPr>
            <c:trendlineType val="log"/>
            <c:dispRSqr val="0"/>
            <c:dispEq val="0"/>
          </c:trendline>
          <c:trendline>
            <c:spPr>
              <a:ln w="25400" cap="rnd">
                <a:solidFill>
                  <a:schemeClr val="accent4">
                    <a:alpha val="50000"/>
                  </a:schemeClr>
                </a:solidFill>
              </a:ln>
              <a:effectLst/>
            </c:spPr>
            <c:trendlineType val="power"/>
            <c:dispRSqr val="0"/>
            <c:dispEq val="0"/>
          </c:trendline>
          <c:xVal>
            <c:numRef>
              <c:f>Sheet1!$S$2:$S$11</c:f>
              <c:numCache>
                <c:formatCode>General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Sheet1!$U$2:$U$11</c:f>
              <c:numCache>
                <c:formatCode>General</c:formatCode>
                <c:ptCount val="10"/>
                <c:pt idx="0">
                  <c:v>100</c:v>
                </c:pt>
                <c:pt idx="1">
                  <c:v>99</c:v>
                </c:pt>
                <c:pt idx="2">
                  <c:v>103</c:v>
                </c:pt>
                <c:pt idx="3">
                  <c:v>98</c:v>
                </c:pt>
                <c:pt idx="4">
                  <c:v>97</c:v>
                </c:pt>
                <c:pt idx="5">
                  <c:v>102</c:v>
                </c:pt>
                <c:pt idx="6">
                  <c:v>101</c:v>
                </c:pt>
                <c:pt idx="7">
                  <c:v>98</c:v>
                </c:pt>
                <c:pt idx="8">
                  <c:v>101</c:v>
                </c:pt>
                <c:pt idx="9">
                  <c:v>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EE-4243-9478-E1096C5D7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449872"/>
        <c:axId val="562455152"/>
      </c:scatterChart>
      <c:valAx>
        <c:axId val="56244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(starting farthest out)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55152"/>
        <c:crosses val="autoZero"/>
        <c:crossBetween val="midCat"/>
      </c:valAx>
      <c:valAx>
        <c:axId val="56245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 Index Value (synthetic basis points)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449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33336</xdr:colOff>
      <xdr:row>12</xdr:row>
      <xdr:rowOff>104774</xdr:rowOff>
    </xdr:from>
    <xdr:to>
      <xdr:col>21</xdr:col>
      <xdr:colOff>38099</xdr:colOff>
      <xdr:row>46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D238FA-9FC9-1CC9-9334-43F287EE4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B64A-FDD3-4D58-895A-BF31BDDDB0FC}">
  <dimension ref="A1:U12"/>
  <sheetViews>
    <sheetView tabSelected="1" zoomScale="110" zoomScaleNormal="110" workbookViewId="0">
      <selection activeCell="T7" sqref="T7"/>
    </sheetView>
  </sheetViews>
  <sheetFormatPr defaultRowHeight="15" x14ac:dyDescent="0.25"/>
  <cols>
    <col min="1" max="1" width="10.28515625" customWidth="1"/>
  </cols>
  <sheetData>
    <row r="1" spans="1:21" ht="24" customHeight="1" x14ac:dyDescent="0.25">
      <c r="A1" s="1" t="s">
        <v>0</v>
      </c>
      <c r="B1" t="s">
        <v>9</v>
      </c>
      <c r="D1" t="s">
        <v>8</v>
      </c>
      <c r="E1" t="s">
        <v>8</v>
      </c>
      <c r="G1" t="s">
        <v>9</v>
      </c>
      <c r="J1" s="1" t="s">
        <v>14</v>
      </c>
      <c r="K1" t="s">
        <v>9</v>
      </c>
      <c r="M1" t="s">
        <v>8</v>
      </c>
      <c r="N1" t="s">
        <v>8</v>
      </c>
      <c r="P1" t="s">
        <v>9</v>
      </c>
      <c r="S1" s="18" t="s">
        <v>11</v>
      </c>
      <c r="T1" s="18" t="s">
        <v>12</v>
      </c>
      <c r="U1" s="18" t="s">
        <v>13</v>
      </c>
    </row>
    <row r="2" spans="1:21" ht="15.75" thickBot="1" x14ac:dyDescent="0.3">
      <c r="A2" s="2" t="s">
        <v>7</v>
      </c>
      <c r="B2" s="3" t="s">
        <v>1</v>
      </c>
      <c r="C2" s="4" t="s">
        <v>3</v>
      </c>
      <c r="D2" s="4" t="s">
        <v>2</v>
      </c>
      <c r="E2" s="4" t="s">
        <v>4</v>
      </c>
      <c r="F2" s="4" t="s">
        <v>5</v>
      </c>
      <c r="G2" s="5" t="s">
        <v>6</v>
      </c>
      <c r="H2" s="14" t="s">
        <v>10</v>
      </c>
      <c r="J2" s="2" t="s">
        <v>7</v>
      </c>
      <c r="K2" s="3" t="s">
        <v>1</v>
      </c>
      <c r="L2" s="4" t="s">
        <v>3</v>
      </c>
      <c r="M2" s="4" t="s">
        <v>2</v>
      </c>
      <c r="N2" s="4" t="s">
        <v>4</v>
      </c>
      <c r="O2" s="4" t="s">
        <v>5</v>
      </c>
      <c r="P2" s="5" t="s">
        <v>6</v>
      </c>
      <c r="Q2" s="14"/>
      <c r="S2" s="22">
        <f>J12</f>
        <v>0</v>
      </c>
      <c r="T2" s="22">
        <v>100</v>
      </c>
      <c r="U2" s="22">
        <v>100</v>
      </c>
    </row>
    <row r="3" spans="1:21" ht="15.75" thickBot="1" x14ac:dyDescent="0.3">
      <c r="A3" s="6">
        <v>90</v>
      </c>
      <c r="B3" s="7">
        <v>500</v>
      </c>
      <c r="C3" s="8">
        <v>1</v>
      </c>
      <c r="D3" s="8">
        <v>64</v>
      </c>
      <c r="E3" s="8">
        <v>120</v>
      </c>
      <c r="F3" s="8">
        <v>250</v>
      </c>
      <c r="G3" s="9">
        <f>IF(B3-C3-D3-E3-F3=0,"",B3-C3-D3-E3-F3)</f>
        <v>65</v>
      </c>
      <c r="H3" s="15">
        <v>0</v>
      </c>
      <c r="J3" s="6">
        <v>90</v>
      </c>
      <c r="K3" s="7">
        <v>475</v>
      </c>
      <c r="L3" s="8">
        <v>1</v>
      </c>
      <c r="M3" s="8">
        <v>72</v>
      </c>
      <c r="N3" s="8">
        <v>123</v>
      </c>
      <c r="O3" s="8">
        <v>225</v>
      </c>
      <c r="P3" s="9">
        <f>IF(K3-L3-M3-N3-O3=0,"",K3-L3-M3-N3-O3)</f>
        <v>54</v>
      </c>
      <c r="Q3" s="15">
        <v>0</v>
      </c>
      <c r="S3" s="19">
        <f>J11</f>
        <v>10</v>
      </c>
      <c r="T3" s="19">
        <f>100+H4</f>
        <v>103</v>
      </c>
      <c r="U3" s="19">
        <f>100+Q4</f>
        <v>99</v>
      </c>
    </row>
    <row r="4" spans="1:21" ht="15.75" thickBot="1" x14ac:dyDescent="0.3">
      <c r="A4" s="10">
        <v>80</v>
      </c>
      <c r="B4" s="11">
        <v>504</v>
      </c>
      <c r="C4" s="12">
        <v>1</v>
      </c>
      <c r="D4" s="12">
        <v>64</v>
      </c>
      <c r="E4" s="12">
        <v>121</v>
      </c>
      <c r="F4" s="12">
        <v>250</v>
      </c>
      <c r="G4" s="13">
        <f t="shared" ref="G4:G27" si="0">IF(B4-C4-D4-E4-F4=0,"",B4-C4-D4-E4-F4)</f>
        <v>68</v>
      </c>
      <c r="H4" s="16">
        <f>G4-G3</f>
        <v>3</v>
      </c>
      <c r="J4" s="10">
        <v>80</v>
      </c>
      <c r="K4" s="11">
        <v>475</v>
      </c>
      <c r="L4" s="12">
        <v>1</v>
      </c>
      <c r="M4" s="12">
        <v>72</v>
      </c>
      <c r="N4" s="12">
        <v>123</v>
      </c>
      <c r="O4" s="12">
        <v>226</v>
      </c>
      <c r="P4" s="13">
        <f t="shared" ref="P4:P12" si="1">IF(K4-L4-M4-N4-O4=0,"",K4-L4-M4-N4-O4)</f>
        <v>53</v>
      </c>
      <c r="Q4" s="17">
        <f>P4-P3</f>
        <v>-1</v>
      </c>
      <c r="S4" s="20">
        <f>J10</f>
        <v>20</v>
      </c>
      <c r="T4" s="20">
        <f t="shared" ref="T4:T11" si="2">100+H5</f>
        <v>92</v>
      </c>
      <c r="U4" s="20">
        <f t="shared" ref="U4:U11" si="3">100+Q5</f>
        <v>103</v>
      </c>
    </row>
    <row r="5" spans="1:21" ht="15.75" thickBot="1" x14ac:dyDescent="0.3">
      <c r="A5" s="10">
        <v>70</v>
      </c>
      <c r="B5" s="11">
        <v>505</v>
      </c>
      <c r="C5" s="12">
        <v>2</v>
      </c>
      <c r="D5" s="12">
        <v>69</v>
      </c>
      <c r="E5" s="12">
        <v>124</v>
      </c>
      <c r="F5" s="12">
        <v>250</v>
      </c>
      <c r="G5" s="13">
        <f t="shared" ref="G5:G27" si="4">IF(B5-C5-D5-E5-F5=0,"",B5-C5-D5-E5-F5)</f>
        <v>60</v>
      </c>
      <c r="H5" s="16">
        <f t="shared" ref="H5:H12" si="5">G5-G4</f>
        <v>-8</v>
      </c>
      <c r="J5" s="6">
        <v>70</v>
      </c>
      <c r="K5" s="7">
        <v>476</v>
      </c>
      <c r="L5" s="8">
        <v>1</v>
      </c>
      <c r="M5" s="8">
        <v>72</v>
      </c>
      <c r="N5" s="8">
        <v>122</v>
      </c>
      <c r="O5" s="8">
        <v>225</v>
      </c>
      <c r="P5" s="9">
        <f t="shared" si="1"/>
        <v>56</v>
      </c>
      <c r="Q5" s="17">
        <f t="shared" ref="Q5:Q12" si="6">P5-P4</f>
        <v>3</v>
      </c>
      <c r="S5" s="21">
        <f>J9</f>
        <v>30</v>
      </c>
      <c r="T5" s="21">
        <f t="shared" si="2"/>
        <v>102</v>
      </c>
      <c r="U5" s="21">
        <f t="shared" si="3"/>
        <v>98</v>
      </c>
    </row>
    <row r="6" spans="1:21" ht="15.75" thickBot="1" x14ac:dyDescent="0.3">
      <c r="A6" s="10">
        <v>60</v>
      </c>
      <c r="B6" s="11">
        <v>505</v>
      </c>
      <c r="C6" s="12">
        <v>3</v>
      </c>
      <c r="D6" s="12">
        <v>65</v>
      </c>
      <c r="E6" s="12">
        <v>124</v>
      </c>
      <c r="F6" s="12">
        <v>251</v>
      </c>
      <c r="G6" s="13">
        <f t="shared" si="4"/>
        <v>62</v>
      </c>
      <c r="H6" s="16">
        <f t="shared" si="5"/>
        <v>2</v>
      </c>
      <c r="J6" s="10">
        <v>60</v>
      </c>
      <c r="K6" s="11">
        <v>476</v>
      </c>
      <c r="L6" s="12">
        <v>1</v>
      </c>
      <c r="M6" s="12">
        <v>71</v>
      </c>
      <c r="N6" s="12">
        <v>125</v>
      </c>
      <c r="O6" s="12">
        <v>225</v>
      </c>
      <c r="P6" s="13">
        <f t="shared" si="1"/>
        <v>54</v>
      </c>
      <c r="Q6" s="17">
        <f t="shared" si="6"/>
        <v>-2</v>
      </c>
      <c r="S6" s="20">
        <f>J8</f>
        <v>40</v>
      </c>
      <c r="T6" s="20">
        <f t="shared" si="2"/>
        <v>83</v>
      </c>
      <c r="U6" s="20">
        <f t="shared" si="3"/>
        <v>97</v>
      </c>
    </row>
    <row r="7" spans="1:21" ht="15.75" thickBot="1" x14ac:dyDescent="0.3">
      <c r="A7" s="10">
        <v>50</v>
      </c>
      <c r="B7" s="11">
        <v>504</v>
      </c>
      <c r="C7" s="12">
        <v>2</v>
      </c>
      <c r="D7" s="12">
        <v>76</v>
      </c>
      <c r="E7" s="12">
        <v>126</v>
      </c>
      <c r="F7" s="12">
        <v>255</v>
      </c>
      <c r="G7" s="13">
        <f t="shared" si="4"/>
        <v>45</v>
      </c>
      <c r="H7" s="16">
        <f t="shared" si="5"/>
        <v>-17</v>
      </c>
      <c r="J7" s="6">
        <v>50</v>
      </c>
      <c r="K7" s="7">
        <v>478</v>
      </c>
      <c r="L7" s="8">
        <v>2</v>
      </c>
      <c r="M7" s="8">
        <v>71</v>
      </c>
      <c r="N7" s="8">
        <v>128</v>
      </c>
      <c r="O7" s="8">
        <v>226</v>
      </c>
      <c r="P7" s="9">
        <f t="shared" si="1"/>
        <v>51</v>
      </c>
      <c r="Q7" s="17">
        <f t="shared" si="6"/>
        <v>-3</v>
      </c>
      <c r="S7" s="21">
        <f>J7</f>
        <v>50</v>
      </c>
      <c r="T7" s="21">
        <f t="shared" si="2"/>
        <v>106</v>
      </c>
      <c r="U7" s="21">
        <f t="shared" si="3"/>
        <v>102</v>
      </c>
    </row>
    <row r="8" spans="1:21" ht="15.75" thickBot="1" x14ac:dyDescent="0.3">
      <c r="A8" s="10">
        <v>40</v>
      </c>
      <c r="B8" s="11">
        <v>507</v>
      </c>
      <c r="C8" s="12">
        <v>1</v>
      </c>
      <c r="D8" s="12">
        <v>75</v>
      </c>
      <c r="E8" s="12">
        <v>127</v>
      </c>
      <c r="F8" s="12">
        <v>253</v>
      </c>
      <c r="G8" s="13">
        <f t="shared" si="4"/>
        <v>51</v>
      </c>
      <c r="H8" s="16">
        <f t="shared" si="5"/>
        <v>6</v>
      </c>
      <c r="J8" s="10">
        <v>40</v>
      </c>
      <c r="K8" s="11">
        <v>480</v>
      </c>
      <c r="L8" s="12">
        <v>1</v>
      </c>
      <c r="M8" s="12">
        <v>71</v>
      </c>
      <c r="N8" s="12">
        <v>129</v>
      </c>
      <c r="O8" s="12">
        <v>226</v>
      </c>
      <c r="P8" s="13">
        <f t="shared" si="1"/>
        <v>53</v>
      </c>
      <c r="Q8" s="17">
        <f t="shared" si="6"/>
        <v>2</v>
      </c>
      <c r="S8" s="20">
        <f>J6</f>
        <v>60</v>
      </c>
      <c r="T8" s="20">
        <f t="shared" si="2"/>
        <v>100</v>
      </c>
      <c r="U8" s="20">
        <f t="shared" si="3"/>
        <v>101</v>
      </c>
    </row>
    <row r="9" spans="1:21" ht="15.75" thickBot="1" x14ac:dyDescent="0.3">
      <c r="A9" s="10">
        <v>30</v>
      </c>
      <c r="B9" s="11">
        <v>507</v>
      </c>
      <c r="C9" s="12">
        <v>1</v>
      </c>
      <c r="D9" s="12">
        <v>74</v>
      </c>
      <c r="E9" s="12">
        <v>127</v>
      </c>
      <c r="F9" s="12">
        <v>254</v>
      </c>
      <c r="G9" s="13">
        <f t="shared" si="4"/>
        <v>51</v>
      </c>
      <c r="H9" s="16">
        <f t="shared" si="5"/>
        <v>0</v>
      </c>
      <c r="J9" s="6">
        <v>30</v>
      </c>
      <c r="K9" s="7">
        <v>481</v>
      </c>
      <c r="L9" s="8">
        <v>1</v>
      </c>
      <c r="M9" s="8">
        <v>70</v>
      </c>
      <c r="N9" s="8">
        <v>129</v>
      </c>
      <c r="O9" s="8">
        <v>227</v>
      </c>
      <c r="P9" s="9">
        <f t="shared" si="1"/>
        <v>54</v>
      </c>
      <c r="Q9" s="17">
        <f t="shared" si="6"/>
        <v>1</v>
      </c>
      <c r="S9" s="21">
        <f>J5</f>
        <v>70</v>
      </c>
      <c r="T9" s="21">
        <f t="shared" si="2"/>
        <v>94</v>
      </c>
      <c r="U9" s="21">
        <f t="shared" si="3"/>
        <v>98</v>
      </c>
    </row>
    <row r="10" spans="1:21" ht="15.75" thickBot="1" x14ac:dyDescent="0.3">
      <c r="A10" s="10">
        <v>20</v>
      </c>
      <c r="B10" s="11">
        <v>508</v>
      </c>
      <c r="C10" s="12">
        <v>2</v>
      </c>
      <c r="D10" s="12">
        <v>73</v>
      </c>
      <c r="E10" s="12">
        <v>129</v>
      </c>
      <c r="F10" s="12">
        <v>259</v>
      </c>
      <c r="G10" s="13">
        <f t="shared" si="4"/>
        <v>45</v>
      </c>
      <c r="H10" s="16">
        <f t="shared" si="5"/>
        <v>-6</v>
      </c>
      <c r="J10" s="10">
        <v>20</v>
      </c>
      <c r="K10" s="11">
        <v>484</v>
      </c>
      <c r="L10" s="12">
        <v>2</v>
      </c>
      <c r="M10" s="12">
        <v>70</v>
      </c>
      <c r="N10" s="12">
        <v>133</v>
      </c>
      <c r="O10" s="12">
        <v>227</v>
      </c>
      <c r="P10" s="13">
        <f t="shared" si="1"/>
        <v>52</v>
      </c>
      <c r="Q10" s="17">
        <f t="shared" si="6"/>
        <v>-2</v>
      </c>
      <c r="S10" s="20">
        <f>J4</f>
        <v>80</v>
      </c>
      <c r="T10" s="20">
        <f t="shared" si="2"/>
        <v>93</v>
      </c>
      <c r="U10" s="20">
        <f t="shared" si="3"/>
        <v>101</v>
      </c>
    </row>
    <row r="11" spans="1:21" ht="15.75" thickBot="1" x14ac:dyDescent="0.3">
      <c r="A11" s="10">
        <v>10</v>
      </c>
      <c r="B11" s="11">
        <v>510</v>
      </c>
      <c r="C11" s="12">
        <v>3</v>
      </c>
      <c r="D11" s="12">
        <v>73</v>
      </c>
      <c r="E11" s="12">
        <v>133</v>
      </c>
      <c r="F11" s="12">
        <v>263</v>
      </c>
      <c r="G11" s="13">
        <f t="shared" si="4"/>
        <v>38</v>
      </c>
      <c r="H11" s="16">
        <f t="shared" si="5"/>
        <v>-7</v>
      </c>
      <c r="J11" s="6">
        <v>10</v>
      </c>
      <c r="K11" s="7">
        <v>487</v>
      </c>
      <c r="L11" s="8">
        <v>2</v>
      </c>
      <c r="M11" s="8">
        <v>69</v>
      </c>
      <c r="N11" s="8">
        <v>135</v>
      </c>
      <c r="O11" s="8">
        <v>228</v>
      </c>
      <c r="P11" s="9">
        <f t="shared" si="1"/>
        <v>53</v>
      </c>
      <c r="Q11" s="17">
        <f t="shared" si="6"/>
        <v>1</v>
      </c>
      <c r="S11" s="21">
        <f>J3</f>
        <v>90</v>
      </c>
      <c r="T11" s="21">
        <f t="shared" si="2"/>
        <v>92</v>
      </c>
      <c r="U11" s="21">
        <f t="shared" si="3"/>
        <v>98</v>
      </c>
    </row>
    <row r="12" spans="1:21" ht="15.75" thickBot="1" x14ac:dyDescent="0.3">
      <c r="A12" s="10">
        <v>0</v>
      </c>
      <c r="B12" s="11">
        <v>511</v>
      </c>
      <c r="C12" s="12">
        <v>3</v>
      </c>
      <c r="D12" s="12">
        <v>75</v>
      </c>
      <c r="E12" s="12">
        <v>134</v>
      </c>
      <c r="F12" s="12">
        <v>269</v>
      </c>
      <c r="G12" s="13">
        <f t="shared" si="4"/>
        <v>30</v>
      </c>
      <c r="H12" s="16">
        <f t="shared" si="5"/>
        <v>-8</v>
      </c>
      <c r="J12" s="10">
        <v>0</v>
      </c>
      <c r="K12" s="11">
        <v>488</v>
      </c>
      <c r="L12" s="12">
        <v>2</v>
      </c>
      <c r="M12" s="12">
        <v>69</v>
      </c>
      <c r="N12" s="12">
        <v>137</v>
      </c>
      <c r="O12" s="12">
        <v>229</v>
      </c>
      <c r="P12" s="13">
        <f t="shared" si="1"/>
        <v>51</v>
      </c>
      <c r="Q12" s="17">
        <f t="shared" si="6"/>
        <v>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2026-06-26T23:15:02Z</dcterms:created>
  <dcterms:modified xsi:type="dcterms:W3CDTF">2026-06-27T00:11:40Z</dcterms:modified>
</cp:coreProperties>
</file>